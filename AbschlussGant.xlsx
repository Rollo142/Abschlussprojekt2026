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85" windowHeight="12645"/>
  </bookViews>
  <sheets>
    <sheet name="GANTT Tag" sheetId="1" r:id="rId1"/>
  </sheets>
  <definedNames>
    <definedName name="Anzeigewoche">'GANTT Tag'!$C$4</definedName>
    <definedName name="Startdatum">'GANTT Tag'!$C$3</definedName>
    <definedName name="task_end" localSheetId="0">'GANTT Tag'!$E1</definedName>
    <definedName name="task_progress" localSheetId="0">'GANTT Tag'!$C1</definedName>
    <definedName name="task_start" localSheetId="0">'GANTT Tag'!$D1</definedName>
  </definedNames>
  <calcPr calcId="144525"/>
</workbook>
</file>

<file path=xl/sharedStrings.xml><?xml version="1.0" encoding="utf-8"?>
<sst xmlns="http://schemas.openxmlformats.org/spreadsheetml/2006/main" count="39" uniqueCount="27">
  <si>
    <t xml:space="preserve">PROJEKTNAME </t>
  </si>
  <si>
    <t xml:space="preserve">Firmename </t>
  </si>
  <si>
    <t>Projektleitung</t>
  </si>
  <si>
    <t xml:space="preserve">Startdatum: </t>
  </si>
  <si>
    <t>Anzeigewoche:</t>
  </si>
  <si>
    <t>AUFGABE</t>
  </si>
  <si>
    <t>ZUGEWIESEN
AN</t>
  </si>
  <si>
    <t>FORTSCHRITT</t>
  </si>
  <si>
    <t>START</t>
  </si>
  <si>
    <t>ENDE</t>
  </si>
  <si>
    <t>Phase 1</t>
  </si>
  <si>
    <t>Projektplanung</t>
  </si>
  <si>
    <t>Jonas Becker</t>
  </si>
  <si>
    <t>Anforderungen</t>
  </si>
  <si>
    <t>Systemdesign</t>
  </si>
  <si>
    <t>DB-Design</t>
  </si>
  <si>
    <t>GUI-Design</t>
  </si>
  <si>
    <t>Phase 2</t>
  </si>
  <si>
    <t>EEG-Anbindung</t>
  </si>
  <si>
    <t>Ja / Nein Funktion</t>
  </si>
  <si>
    <t>Training / ML</t>
  </si>
  <si>
    <t>GUI-Ausgabe</t>
  </si>
  <si>
    <t>Speicherung</t>
  </si>
  <si>
    <t>Phase 3</t>
  </si>
  <si>
    <t>Unit-Tests</t>
  </si>
  <si>
    <t>Integrationstest</t>
  </si>
  <si>
    <t>Abnahmetests</t>
  </si>
</sst>
</file>

<file path=xl/styles.xml><?xml version="1.0" encoding="utf-8"?>
<styleSheet xmlns="http://schemas.openxmlformats.org/spreadsheetml/2006/main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176" formatCode="d/m/yy;@"/>
    <numFmt numFmtId="177" formatCode="d"/>
  </numFmts>
  <fonts count="28">
    <font>
      <sz val="11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theme="0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sz val="11"/>
      <color theme="1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rgb="FF9C0006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sz val="11"/>
      <color theme="0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theme="1"/>
      <name val="Aptos Narrow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medium">
        <color theme="0" tint="-0.14996795556505"/>
      </top>
      <bottom style="medium">
        <color theme="0" tint="-0.14996795556505"/>
      </bottom>
      <diagonal/>
    </border>
    <border>
      <left/>
      <right/>
      <top style="medium">
        <color theme="0" tint="-0.14996795556505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8" fillId="18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6" borderId="9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9" fillId="21" borderId="11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0" fillId="0" borderId="5" applyFill="0">
      <alignment horizontal="center"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5" applyFill="0">
      <alignment horizontal="center" vertical="center"/>
    </xf>
    <xf numFmtId="0" fontId="22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28" borderId="1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19" borderId="15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19" borderId="10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0" fillId="0" borderId="5" applyFill="0">
      <alignment horizontal="left" vertical="center" indent="2"/>
    </xf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0" fillId="2" borderId="2" xfId="0" applyNumberFormat="1" applyFill="1" applyBorder="1" applyAlignment="1">
      <alignment horizontal="center"/>
    </xf>
    <xf numFmtId="58" fontId="0" fillId="2" borderId="3" xfId="0" applyNumberFormat="1" applyFill="1" applyBorder="1" applyAlignment="1">
      <alignment horizontal="center"/>
    </xf>
    <xf numFmtId="177" fontId="3" fillId="2" borderId="4" xfId="0" applyNumberFormat="1" applyFont="1" applyFill="1" applyBorder="1" applyAlignment="1">
      <alignment horizontal="center" vertical="center" shrinkToFit="1"/>
    </xf>
    <xf numFmtId="177" fontId="3" fillId="2" borderId="0" xfId="0" applyNumberFormat="1" applyFont="1" applyFill="1" applyAlignment="1">
      <alignment horizontal="center" vertical="center" shrinkToFi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/>
    <xf numFmtId="0" fontId="4" fillId="3" borderId="0" xfId="0" applyFont="1" applyFill="1" applyAlignment="1">
      <alignment horizontal="center" vertical="center" shrinkToFit="1"/>
    </xf>
    <xf numFmtId="0" fontId="6" fillId="4" borderId="5" xfId="19" applyFont="1" applyFill="1">
      <alignment horizontal="center" vertical="center"/>
    </xf>
    <xf numFmtId="0" fontId="0" fillId="4" borderId="5" xfId="19" applyFill="1">
      <alignment horizontal="center" vertical="center"/>
    </xf>
    <xf numFmtId="0" fontId="0" fillId="0" borderId="5" xfId="19" applyFill="1">
      <alignment horizontal="center" vertical="center"/>
    </xf>
    <xf numFmtId="0" fontId="0" fillId="5" borderId="5" xfId="19" applyFont="1" applyFill="1">
      <alignment horizontal="center" vertical="center"/>
    </xf>
    <xf numFmtId="9" fontId="0" fillId="5" borderId="5" xfId="19" applyNumberFormat="1" applyFont="1" applyFill="1" applyBorder="1" applyAlignment="1" applyProtection="1">
      <alignment horizontal="center" vertical="center"/>
    </xf>
    <xf numFmtId="58" fontId="0" fillId="5" borderId="5" xfId="19" applyNumberFormat="1" applyFill="1">
      <alignment horizontal="center" vertical="center"/>
    </xf>
    <xf numFmtId="0" fontId="7" fillId="0" borderId="5" xfId="19" applyFont="1" applyFill="1">
      <alignment horizontal="center" vertical="center"/>
    </xf>
    <xf numFmtId="0" fontId="0" fillId="5" borderId="5" xfId="19" applyFill="1">
      <alignment horizontal="center" vertical="center"/>
    </xf>
    <xf numFmtId="0" fontId="6" fillId="6" borderId="5" xfId="19" applyFont="1" applyFill="1">
      <alignment horizontal="center" vertical="center"/>
    </xf>
    <xf numFmtId="0" fontId="0" fillId="6" borderId="5" xfId="19" applyFill="1">
      <alignment horizontal="center" vertical="center"/>
    </xf>
    <xf numFmtId="0" fontId="0" fillId="7" borderId="5" xfId="19" applyFill="1">
      <alignment horizontal="center" vertical="center"/>
    </xf>
    <xf numFmtId="9" fontId="0" fillId="7" borderId="5" xfId="19" applyNumberFormat="1" applyFill="1">
      <alignment horizontal="center" vertical="center"/>
    </xf>
    <xf numFmtId="58" fontId="0" fillId="7" borderId="5" xfId="19" applyNumberFormat="1" applyFill="1">
      <alignment horizontal="center" vertical="center"/>
    </xf>
    <xf numFmtId="0" fontId="6" fillId="8" borderId="5" xfId="19" applyFont="1" applyFill="1">
      <alignment horizontal="center" vertical="center"/>
    </xf>
    <xf numFmtId="0" fontId="0" fillId="8" borderId="5" xfId="19" applyFill="1">
      <alignment horizontal="center" vertical="center"/>
    </xf>
    <xf numFmtId="0" fontId="0" fillId="9" borderId="5" xfId="19" applyFill="1">
      <alignment horizontal="center" vertical="center"/>
    </xf>
    <xf numFmtId="9" fontId="0" fillId="9" borderId="5" xfId="19" applyNumberFormat="1" applyFill="1">
      <alignment horizontal="center" vertical="center"/>
    </xf>
    <xf numFmtId="58" fontId="0" fillId="9" borderId="5" xfId="19" applyNumberFormat="1" applyFill="1">
      <alignment horizontal="center" vertical="center"/>
    </xf>
    <xf numFmtId="0" fontId="0" fillId="9" borderId="6" xfId="19" applyFill="1" applyBorder="1">
      <alignment horizontal="center" vertical="center"/>
    </xf>
    <xf numFmtId="9" fontId="0" fillId="9" borderId="6" xfId="19" applyNumberFormat="1" applyFill="1" applyBorder="1">
      <alignment horizontal="center" vertical="center"/>
    </xf>
    <xf numFmtId="58" fontId="0" fillId="9" borderId="6" xfId="19" applyNumberFormat="1" applyFill="1" applyBorder="1">
      <alignment horizontal="center" vertical="center"/>
    </xf>
    <xf numFmtId="0" fontId="0" fillId="0" borderId="6" xfId="19" applyFill="1" applyBorder="1">
      <alignment horizontal="center" vertical="center"/>
    </xf>
    <xf numFmtId="0" fontId="0" fillId="10" borderId="0" xfId="19" applyFill="1" applyBorder="1">
      <alignment horizontal="center" vertical="center"/>
    </xf>
    <xf numFmtId="9" fontId="0" fillId="10" borderId="0" xfId="19" applyNumberFormat="1" applyFill="1" applyBorder="1">
      <alignment horizontal="center" vertical="center"/>
    </xf>
    <xf numFmtId="58" fontId="0" fillId="10" borderId="0" xfId="19" applyNumberFormat="1" applyFill="1" applyBorder="1">
      <alignment horizontal="center" vertical="center"/>
    </xf>
    <xf numFmtId="0" fontId="0" fillId="11" borderId="0" xfId="19" applyFill="1" applyBorder="1">
      <alignment horizontal="center" vertical="center"/>
    </xf>
    <xf numFmtId="0" fontId="6" fillId="10" borderId="0" xfId="19" applyFont="1" applyFill="1" applyBorder="1">
      <alignment horizontal="center" vertical="center"/>
    </xf>
    <xf numFmtId="0" fontId="0" fillId="11" borderId="0" xfId="0" applyFill="1" applyBorder="1"/>
    <xf numFmtId="0" fontId="0" fillId="11" borderId="0" xfId="0" applyFill="1"/>
    <xf numFmtId="58" fontId="0" fillId="2" borderId="7" xfId="0" applyNumberFormat="1" applyFill="1" applyBorder="1" applyAlignment="1">
      <alignment horizontal="center"/>
    </xf>
    <xf numFmtId="177" fontId="3" fillId="2" borderId="8" xfId="0" applyNumberFormat="1" applyFont="1" applyFill="1" applyBorder="1" applyAlignment="1">
      <alignment horizontal="center" vertical="center" shrinkToFit="1"/>
    </xf>
    <xf numFmtId="0" fontId="0" fillId="0" borderId="0" xfId="0" applyBorder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Datum" xfId="17"/>
    <cellStyle name="CExplanatory Text" xfId="18" builtinId="53"/>
    <cellStyle name="Name" xfId="19"/>
    <cellStyle name="Heading 1" xfId="20" builtinId="16"/>
    <cellStyle name="Heading 3" xfId="21" builtinId="18"/>
    <cellStyle name="Heading 4" xfId="22" builtinId="19"/>
    <cellStyle name="Input" xfId="23" builtinId="20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Aufgabe" xfId="51"/>
  </cellStyles>
  <dxfs count="3">
    <dxf>
      <border>
        <left style="thin">
          <color rgb="FFFF0000"/>
        </left>
        <right style="thin">
          <color rgb="FFFF0000"/>
        </right>
      </border>
    </dxf>
    <dxf>
      <fill>
        <patternFill patternType="solid">
          <bgColor rgb="FF00B050"/>
        </patternFill>
      </fill>
    </dxf>
    <dxf>
      <fill>
        <patternFill patternType="solid">
          <bgColor theme="0" tint="-0.34998626667073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Scroll" dx="22" fmlaLink="$C$4" horiz="1" max="52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171450</xdr:rowOff>
        </xdr:from>
        <xdr:to>
          <xdr:col>20</xdr:col>
          <xdr:colOff>9525</xdr:colOff>
          <xdr:row>2</xdr:row>
          <xdr:rowOff>114300</xdr:rowOff>
        </xdr:to>
        <xdr:sp>
          <xdr:nvSpPr>
            <xdr:cNvPr id="1032" name="Scroll Bar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263640" y="476250"/>
              <a:ext cx="4578985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">
    <pageSetUpPr fitToPage="1"/>
  </sheetPr>
  <dimension ref="A1:AP38"/>
  <sheetViews>
    <sheetView showGridLines="0" tabSelected="1" zoomScale="70" zoomScaleNormal="70" workbookViewId="0">
      <selection activeCell="E24" sqref="E24"/>
    </sheetView>
  </sheetViews>
  <sheetFormatPr defaultColWidth="11" defaultRowHeight="13.5"/>
  <cols>
    <col min="1" max="1" width="24.1416666666667" customWidth="1"/>
    <col min="2" max="2" width="17.7083333333333" customWidth="1"/>
    <col min="3" max="3" width="13.8583333333333" customWidth="1"/>
    <col min="4" max="4" width="11.425" customWidth="1"/>
    <col min="5" max="5" width="11.5"/>
    <col min="6" max="6" width="3.56666666666667" customWidth="1"/>
    <col min="7" max="41" width="4.28333333333333" customWidth="1"/>
  </cols>
  <sheetData>
    <row r="1" ht="24" customHeight="1" spans="1:1">
      <c r="A1" s="1" t="s">
        <v>0</v>
      </c>
    </row>
    <row r="2" ht="19.5" customHeight="1" spans="1:3">
      <c r="A2" s="2" t="s">
        <v>1</v>
      </c>
      <c r="B2" s="2"/>
      <c r="C2" s="3"/>
    </row>
    <row r="3" ht="21" customHeight="1" spans="1:3">
      <c r="A3" s="2" t="s">
        <v>2</v>
      </c>
      <c r="B3" s="2" t="s">
        <v>3</v>
      </c>
      <c r="C3" s="4">
        <v>46031</v>
      </c>
    </row>
    <row r="4" ht="14.25" spans="1:41">
      <c r="A4" s="3"/>
      <c r="B4" s="2" t="s">
        <v>4</v>
      </c>
      <c r="C4" s="5">
        <v>0</v>
      </c>
      <c r="G4" s="6">
        <f>G5</f>
        <v>46027</v>
      </c>
      <c r="H4" s="7"/>
      <c r="I4" s="7"/>
      <c r="J4" s="7"/>
      <c r="K4" s="7"/>
      <c r="L4" s="7"/>
      <c r="M4" s="43"/>
      <c r="N4" s="6">
        <f t="shared" ref="N4" si="0">N5</f>
        <v>46034</v>
      </c>
      <c r="O4" s="7"/>
      <c r="P4" s="7"/>
      <c r="Q4" s="7"/>
      <c r="R4" s="7"/>
      <c r="S4" s="7"/>
      <c r="T4" s="43"/>
      <c r="U4" s="6">
        <f t="shared" ref="U4" si="1">U5</f>
        <v>46041</v>
      </c>
      <c r="V4" s="7"/>
      <c r="W4" s="7"/>
      <c r="X4" s="7"/>
      <c r="Y4" s="7"/>
      <c r="Z4" s="7"/>
      <c r="AA4" s="43"/>
      <c r="AB4" s="6">
        <f t="shared" ref="AB4" si="2">AB5</f>
        <v>46048</v>
      </c>
      <c r="AC4" s="7"/>
      <c r="AD4" s="7"/>
      <c r="AE4" s="7"/>
      <c r="AF4" s="7"/>
      <c r="AG4" s="7"/>
      <c r="AH4" s="43"/>
      <c r="AI4" s="6">
        <f t="shared" ref="AI4" si="3">AI5</f>
        <v>46055</v>
      </c>
      <c r="AJ4" s="7"/>
      <c r="AK4" s="7"/>
      <c r="AL4" s="7"/>
      <c r="AM4" s="7"/>
      <c r="AN4" s="7"/>
      <c r="AO4" s="43"/>
    </row>
    <row r="5" spans="7:41">
      <c r="G5" s="8">
        <f>$C$3-WEEKDAY(Startdatum,3)+Anzeigewoche*7</f>
        <v>46027</v>
      </c>
      <c r="H5" s="9">
        <f>G5+1</f>
        <v>46028</v>
      </c>
      <c r="I5" s="9">
        <f>H5+1</f>
        <v>46029</v>
      </c>
      <c r="J5" s="9">
        <f t="shared" ref="J5:AH5" si="4">I5+1</f>
        <v>46030</v>
      </c>
      <c r="K5" s="9">
        <f t="shared" si="4"/>
        <v>46031</v>
      </c>
      <c r="L5" s="9">
        <f t="shared" si="4"/>
        <v>46032</v>
      </c>
      <c r="M5" s="44">
        <f t="shared" si="4"/>
        <v>46033</v>
      </c>
      <c r="N5" s="8">
        <f t="shared" si="4"/>
        <v>46034</v>
      </c>
      <c r="O5" s="9">
        <f t="shared" si="4"/>
        <v>46035</v>
      </c>
      <c r="P5" s="9">
        <f t="shared" si="4"/>
        <v>46036</v>
      </c>
      <c r="Q5" s="9">
        <f t="shared" si="4"/>
        <v>46037</v>
      </c>
      <c r="R5" s="9">
        <f t="shared" si="4"/>
        <v>46038</v>
      </c>
      <c r="S5" s="9">
        <f t="shared" si="4"/>
        <v>46039</v>
      </c>
      <c r="T5" s="44">
        <f t="shared" si="4"/>
        <v>46040</v>
      </c>
      <c r="U5" s="8">
        <f t="shared" si="4"/>
        <v>46041</v>
      </c>
      <c r="V5" s="9">
        <f t="shared" si="4"/>
        <v>46042</v>
      </c>
      <c r="W5" s="9">
        <f t="shared" si="4"/>
        <v>46043</v>
      </c>
      <c r="X5" s="9">
        <f t="shared" si="4"/>
        <v>46044</v>
      </c>
      <c r="Y5" s="9">
        <f t="shared" si="4"/>
        <v>46045</v>
      </c>
      <c r="Z5" s="9">
        <f t="shared" si="4"/>
        <v>46046</v>
      </c>
      <c r="AA5" s="44">
        <f t="shared" si="4"/>
        <v>46047</v>
      </c>
      <c r="AB5" s="8">
        <f t="shared" si="4"/>
        <v>46048</v>
      </c>
      <c r="AC5" s="9">
        <f t="shared" si="4"/>
        <v>46049</v>
      </c>
      <c r="AD5" s="9">
        <f t="shared" si="4"/>
        <v>46050</v>
      </c>
      <c r="AE5" s="9">
        <f t="shared" si="4"/>
        <v>46051</v>
      </c>
      <c r="AF5" s="9">
        <f t="shared" si="4"/>
        <v>46052</v>
      </c>
      <c r="AG5" s="9">
        <f t="shared" si="4"/>
        <v>46053</v>
      </c>
      <c r="AH5" s="44">
        <f t="shared" si="4"/>
        <v>46054</v>
      </c>
      <c r="AI5" s="8">
        <f t="shared" ref="AI5:AO5" si="5">AH5+1</f>
        <v>46055</v>
      </c>
      <c r="AJ5" s="9">
        <f t="shared" si="5"/>
        <v>46056</v>
      </c>
      <c r="AK5" s="9">
        <f t="shared" si="5"/>
        <v>46057</v>
      </c>
      <c r="AL5" s="9">
        <f t="shared" si="5"/>
        <v>46058</v>
      </c>
      <c r="AM5" s="9">
        <f t="shared" si="5"/>
        <v>46059</v>
      </c>
      <c r="AN5" s="9">
        <f t="shared" si="5"/>
        <v>46060</v>
      </c>
      <c r="AO5" s="44">
        <f t="shared" si="5"/>
        <v>46061</v>
      </c>
    </row>
    <row r="6" ht="24" spans="1:41">
      <c r="A6" s="10" t="s">
        <v>5</v>
      </c>
      <c r="B6" s="11" t="s">
        <v>6</v>
      </c>
      <c r="C6" s="10" t="s">
        <v>7</v>
      </c>
      <c r="D6" s="10" t="s">
        <v>8</v>
      </c>
      <c r="E6" s="10" t="s">
        <v>9</v>
      </c>
      <c r="F6" s="12"/>
      <c r="G6" s="13" t="str">
        <f>LEFT(TEXT(G5,"TTTT"),1)</f>
        <v>T</v>
      </c>
      <c r="H6" s="13" t="str">
        <f t="shared" ref="H6:AO6" si="6">LEFT(TEXT(H5,"TTTT"),1)</f>
        <v>T</v>
      </c>
      <c r="I6" s="13" t="str">
        <f t="shared" si="6"/>
        <v>T</v>
      </c>
      <c r="J6" s="13" t="str">
        <f t="shared" si="6"/>
        <v>T</v>
      </c>
      <c r="K6" s="13" t="str">
        <f t="shared" si="6"/>
        <v>T</v>
      </c>
      <c r="L6" s="13" t="str">
        <f t="shared" si="6"/>
        <v>T</v>
      </c>
      <c r="M6" s="13" t="str">
        <f t="shared" si="6"/>
        <v>T</v>
      </c>
      <c r="N6" s="13" t="str">
        <f t="shared" si="6"/>
        <v>T</v>
      </c>
      <c r="O6" s="13" t="str">
        <f t="shared" si="6"/>
        <v>T</v>
      </c>
      <c r="P6" s="13" t="str">
        <f t="shared" si="6"/>
        <v>T</v>
      </c>
      <c r="Q6" s="13" t="str">
        <f t="shared" si="6"/>
        <v>T</v>
      </c>
      <c r="R6" s="13" t="str">
        <f t="shared" si="6"/>
        <v>T</v>
      </c>
      <c r="S6" s="13" t="str">
        <f t="shared" si="6"/>
        <v>T</v>
      </c>
      <c r="T6" s="13" t="str">
        <f t="shared" si="6"/>
        <v>T</v>
      </c>
      <c r="U6" s="13" t="str">
        <f t="shared" si="6"/>
        <v>T</v>
      </c>
      <c r="V6" s="13" t="str">
        <f t="shared" si="6"/>
        <v>T</v>
      </c>
      <c r="W6" s="13" t="str">
        <f t="shared" si="6"/>
        <v>T</v>
      </c>
      <c r="X6" s="13" t="str">
        <f t="shared" si="6"/>
        <v>T</v>
      </c>
      <c r="Y6" s="13" t="str">
        <f t="shared" si="6"/>
        <v>T</v>
      </c>
      <c r="Z6" s="13" t="str">
        <f t="shared" si="6"/>
        <v>T</v>
      </c>
      <c r="AA6" s="13" t="str">
        <f t="shared" si="6"/>
        <v>T</v>
      </c>
      <c r="AB6" s="13" t="str">
        <f t="shared" si="6"/>
        <v>T</v>
      </c>
      <c r="AC6" s="13" t="str">
        <f t="shared" si="6"/>
        <v>T</v>
      </c>
      <c r="AD6" s="13" t="str">
        <f t="shared" si="6"/>
        <v>T</v>
      </c>
      <c r="AE6" s="13" t="str">
        <f t="shared" si="6"/>
        <v>T</v>
      </c>
      <c r="AF6" s="13" t="str">
        <f t="shared" si="6"/>
        <v>T</v>
      </c>
      <c r="AG6" s="13" t="str">
        <f t="shared" si="6"/>
        <v>T</v>
      </c>
      <c r="AH6" s="13" t="str">
        <f t="shared" si="6"/>
        <v>T</v>
      </c>
      <c r="AI6" s="13" t="str">
        <f t="shared" si="6"/>
        <v>T</v>
      </c>
      <c r="AJ6" s="13" t="str">
        <f t="shared" si="6"/>
        <v>T</v>
      </c>
      <c r="AK6" s="13" t="str">
        <f t="shared" si="6"/>
        <v>T</v>
      </c>
      <c r="AL6" s="13" t="str">
        <f t="shared" si="6"/>
        <v>T</v>
      </c>
      <c r="AM6" s="13" t="str">
        <f t="shared" si="6"/>
        <v>T</v>
      </c>
      <c r="AN6" s="13" t="str">
        <f t="shared" si="6"/>
        <v>T</v>
      </c>
      <c r="AO6" s="13" t="str">
        <f t="shared" si="6"/>
        <v>T</v>
      </c>
    </row>
    <row r="7" ht="12.75" customHeight="1"/>
    <row r="8" ht="24" customHeight="1" spans="1:41">
      <c r="A8" s="14" t="s">
        <v>10</v>
      </c>
      <c r="B8" s="15"/>
      <c r="C8" s="15"/>
      <c r="D8" s="15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</row>
    <row r="9" ht="24" customHeight="1" spans="1:41">
      <c r="A9" s="17" t="s">
        <v>11</v>
      </c>
      <c r="B9" s="17" t="s">
        <v>12</v>
      </c>
      <c r="C9" s="18">
        <v>0</v>
      </c>
      <c r="D9" s="19">
        <f>C3</f>
        <v>46031</v>
      </c>
      <c r="E9" s="19">
        <f>D9+1</f>
        <v>46032</v>
      </c>
      <c r="F9" s="16"/>
      <c r="G9" s="2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</row>
    <row r="10" ht="24" customHeight="1" spans="1:41">
      <c r="A10" s="21" t="s">
        <v>13</v>
      </c>
      <c r="B10" s="17" t="s">
        <v>12</v>
      </c>
      <c r="C10" s="18">
        <v>0</v>
      </c>
      <c r="D10" s="19">
        <f>E9</f>
        <v>46032</v>
      </c>
      <c r="E10" s="19">
        <f>D10+3</f>
        <v>46035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</row>
    <row r="11" ht="24" customHeight="1" spans="1:41">
      <c r="A11" s="21" t="s">
        <v>14</v>
      </c>
      <c r="B11" s="17" t="s">
        <v>12</v>
      </c>
      <c r="C11" s="18">
        <v>0</v>
      </c>
      <c r="D11" s="19">
        <f>E10</f>
        <v>46035</v>
      </c>
      <c r="E11" s="19">
        <f>D11+3</f>
        <v>46038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</row>
    <row r="12" ht="24" customHeight="1" spans="1:41">
      <c r="A12" s="21" t="s">
        <v>15</v>
      </c>
      <c r="B12" s="17" t="s">
        <v>12</v>
      </c>
      <c r="C12" s="18">
        <v>0</v>
      </c>
      <c r="D12" s="19">
        <f>E11</f>
        <v>46038</v>
      </c>
      <c r="E12" s="19">
        <f>D12+3</f>
        <v>46041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</row>
    <row r="13" ht="24" customHeight="1" spans="1:41">
      <c r="A13" s="21" t="s">
        <v>16</v>
      </c>
      <c r="B13" s="17" t="s">
        <v>12</v>
      </c>
      <c r="C13" s="18">
        <v>0</v>
      </c>
      <c r="D13" s="19">
        <f>D10+1</f>
        <v>46033</v>
      </c>
      <c r="E13" s="19">
        <f>D13+3</f>
        <v>46036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</row>
    <row r="14" ht="24" customHeight="1" spans="1:41">
      <c r="A14" s="22" t="s">
        <v>17</v>
      </c>
      <c r="B14" s="23"/>
      <c r="C14" s="23"/>
      <c r="D14" s="23"/>
      <c r="E14" s="23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</row>
    <row r="15" ht="24" customHeight="1" spans="1:41">
      <c r="A15" s="24" t="s">
        <v>18</v>
      </c>
      <c r="B15" s="24" t="s">
        <v>12</v>
      </c>
      <c r="C15" s="25"/>
      <c r="D15" s="26">
        <f>E12</f>
        <v>46041</v>
      </c>
      <c r="E15" s="26">
        <f>D15+3</f>
        <v>46044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</row>
    <row r="16" ht="24" customHeight="1" spans="1:41">
      <c r="A16" s="24" t="s">
        <v>19</v>
      </c>
      <c r="B16" s="24" t="s">
        <v>12</v>
      </c>
      <c r="C16" s="25"/>
      <c r="D16" s="26">
        <f>E15</f>
        <v>46044</v>
      </c>
      <c r="E16" s="26">
        <f>D16+3</f>
        <v>46047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</row>
    <row r="17" ht="24" customHeight="1" spans="1:41">
      <c r="A17" s="24" t="s">
        <v>20</v>
      </c>
      <c r="B17" s="24" t="s">
        <v>12</v>
      </c>
      <c r="C17" s="25"/>
      <c r="D17" s="26">
        <f>E16</f>
        <v>46047</v>
      </c>
      <c r="E17" s="26">
        <f>D17+3</f>
        <v>46050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 ht="24" customHeight="1" spans="1:41">
      <c r="A18" s="24" t="s">
        <v>21</v>
      </c>
      <c r="B18" s="24" t="s">
        <v>12</v>
      </c>
      <c r="C18" s="25"/>
      <c r="D18" s="26">
        <f>E15+1</f>
        <v>46045</v>
      </c>
      <c r="E18" s="26">
        <f>D18+3</f>
        <v>46048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 ht="24" customHeight="1" spans="1:41">
      <c r="A19" s="24" t="s">
        <v>22</v>
      </c>
      <c r="B19" s="24" t="s">
        <v>12</v>
      </c>
      <c r="C19" s="25"/>
      <c r="D19" s="26">
        <f>E18</f>
        <v>46048</v>
      </c>
      <c r="E19" s="26">
        <f>D19+3</f>
        <v>46051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</row>
    <row r="20" ht="24" customHeight="1" spans="1:41">
      <c r="A20" s="27" t="s">
        <v>23</v>
      </c>
      <c r="B20" s="28"/>
      <c r="C20" s="28"/>
      <c r="D20" s="28"/>
      <c r="E20" s="28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</row>
    <row r="21" ht="24" customHeight="1" spans="1:41">
      <c r="A21" s="29" t="s">
        <v>24</v>
      </c>
      <c r="B21" s="29" t="s">
        <v>12</v>
      </c>
      <c r="C21" s="30"/>
      <c r="D21" s="31">
        <f>E19</f>
        <v>46051</v>
      </c>
      <c r="E21" s="31">
        <f>D21+3</f>
        <v>46054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</row>
    <row r="22" ht="24" customHeight="1" spans="1:41">
      <c r="A22" s="29" t="s">
        <v>25</v>
      </c>
      <c r="B22" s="29" t="s">
        <v>12</v>
      </c>
      <c r="C22" s="30"/>
      <c r="D22" s="31">
        <f>E21</f>
        <v>46054</v>
      </c>
      <c r="E22" s="31">
        <f>D22+3</f>
        <v>46057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</row>
    <row r="23" ht="24" customHeight="1" spans="1:41">
      <c r="A23" s="32" t="s">
        <v>26</v>
      </c>
      <c r="B23" s="32" t="s">
        <v>12</v>
      </c>
      <c r="C23" s="33"/>
      <c r="D23" s="34">
        <f>E22</f>
        <v>46057</v>
      </c>
      <c r="E23" s="34">
        <f>D23+3</f>
        <v>46060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</row>
    <row r="24" ht="24" customHeight="1" spans="1:42">
      <c r="A24" s="36"/>
      <c r="B24" s="36"/>
      <c r="C24" s="37"/>
      <c r="D24" s="38"/>
      <c r="E24" s="38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41"/>
    </row>
    <row r="25" ht="24" customHeight="1" spans="1:42">
      <c r="A25" s="36"/>
      <c r="B25" s="36"/>
      <c r="C25" s="37"/>
      <c r="D25" s="38"/>
      <c r="E25" s="38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41"/>
    </row>
    <row r="26" ht="24" customHeight="1" spans="1:42">
      <c r="A26" s="40"/>
      <c r="B26" s="36"/>
      <c r="C26" s="36"/>
      <c r="D26" s="36"/>
      <c r="E26" s="36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41"/>
    </row>
    <row r="27" ht="24" customHeight="1" spans="1:42">
      <c r="A27" s="36"/>
      <c r="B27" s="36"/>
      <c r="C27" s="37"/>
      <c r="D27" s="38"/>
      <c r="E27" s="38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41"/>
    </row>
    <row r="28" ht="24" customHeight="1" spans="1:42">
      <c r="A28" s="36"/>
      <c r="B28" s="36"/>
      <c r="C28" s="37"/>
      <c r="D28" s="38"/>
      <c r="E28" s="38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41"/>
    </row>
    <row r="29" ht="24" customHeight="1" spans="1:42">
      <c r="A29" s="36"/>
      <c r="B29" s="36"/>
      <c r="C29" s="37"/>
      <c r="D29" s="38"/>
      <c r="E29" s="38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41"/>
    </row>
    <row r="30" ht="24" customHeight="1" spans="1:42">
      <c r="A30" s="36"/>
      <c r="B30" s="36"/>
      <c r="C30" s="37"/>
      <c r="D30" s="38"/>
      <c r="E30" s="38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41"/>
    </row>
    <row r="31" ht="24" customHeight="1" spans="1:42">
      <c r="A31" s="36"/>
      <c r="B31" s="36"/>
      <c r="C31" s="37"/>
      <c r="D31" s="38"/>
      <c r="E31" s="38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41"/>
    </row>
    <row r="32" spans="1:4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</row>
    <row r="33" spans="1:4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1"/>
      <c r="AO33" s="41"/>
      <c r="AP33" s="41"/>
    </row>
    <row r="34" spans="1:4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1"/>
      <c r="AO34" s="41"/>
      <c r="AP34" s="41"/>
    </row>
    <row r="35" spans="1:4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1"/>
      <c r="AO35" s="41"/>
      <c r="AP35" s="41"/>
    </row>
    <row r="36" spans="1:4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1"/>
      <c r="AO36" s="41"/>
      <c r="AP36" s="41"/>
    </row>
    <row r="37" spans="40:42">
      <c r="AN37" s="45"/>
      <c r="AO37" s="45"/>
      <c r="AP37" s="45"/>
    </row>
    <row r="38" spans="40:42">
      <c r="AN38" s="45"/>
      <c r="AO38" s="45"/>
      <c r="AP38" s="45"/>
    </row>
  </sheetData>
  <mergeCells count="5">
    <mergeCell ref="G4:M4"/>
    <mergeCell ref="N4:T4"/>
    <mergeCell ref="U4:AA4"/>
    <mergeCell ref="AB4:AH4"/>
    <mergeCell ref="AI4:AO4"/>
  </mergeCells>
  <conditionalFormatting sqref="C9:C13">
    <cfRule type="dataBar" priority="1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{78cb4e87-342c-4380-8b6d-ded3213c2321}</x14:id>
        </ext>
      </extLst>
    </cfRule>
  </conditionalFormatting>
  <conditionalFormatting sqref="C15:C19">
    <cfRule type="dataBar" priority="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{f537c16a-4d53-4657-ac92-382f8d984951}</x14:id>
        </ext>
      </extLst>
    </cfRule>
  </conditionalFormatting>
  <conditionalFormatting sqref="C21:C25">
    <cfRule type="dataBar" priority="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{111d79ee-1953-4032-9b89-7d4ae7f92045}</x14:id>
        </ext>
      </extLst>
    </cfRule>
  </conditionalFormatting>
  <conditionalFormatting sqref="C27:C31">
    <cfRule type="dataBar" priority="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{122ef4da-0cd3-4fdb-ba2d-dc9e88159123}</x14:id>
        </ext>
      </extLst>
    </cfRule>
  </conditionalFormatting>
  <conditionalFormatting sqref="G5:AO31">
    <cfRule type="expression" dxfId="0" priority="4">
      <formula>G$5=TODAY()</formula>
    </cfRule>
  </conditionalFormatting>
  <conditionalFormatting sqref="G7:AO31">
    <cfRule type="expression" dxfId="1" priority="1">
      <formula>AND(task_start&lt;=G$5,ROUNDDOWN((task_end-task_start+1)*task_progress,0)+task_start-1&gt;=G$5)</formula>
    </cfRule>
    <cfRule type="expression" dxfId="2" priority="3">
      <formula>AND(task_end&gt;=G$5,task_start&lt;G$5)</formula>
    </cfRule>
  </conditionalFormatting>
  <pageMargins left="0.25" right="0.25" top="0.75" bottom="0.75" header="0.3" footer="0.3"/>
  <pageSetup paperSize="9" scale="61" fitToHeight="0" orientation="landscape"/>
  <headerFooter/>
  <ignoredErrors>
    <ignoredError sqref="D18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name="Scroll Bar 8" r:id="rId3">
              <controlPr defaultSize="0">
                <anchor moveWithCells="1">
                  <from>
                    <xdr:col>6</xdr:col>
                    <xdr:colOff>0</xdr:colOff>
                    <xdr:row>1</xdr:row>
                    <xdr:rowOff>171450</xdr:rowOff>
                  </from>
                  <to>
                    <xdr:col>20</xdr:col>
                    <xdr:colOff>9525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cb4e87-342c-4380-8b6d-ded3213c232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C9:C13</xm:sqref>
        </x14:conditionalFormatting>
        <x14:conditionalFormatting xmlns:xm="http://schemas.microsoft.com/office/excel/2006/main">
          <x14:cfRule type="dataBar" id="{f537c16a-4d53-4657-ac92-382f8d98495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C15:C19</xm:sqref>
        </x14:conditionalFormatting>
        <x14:conditionalFormatting xmlns:xm="http://schemas.microsoft.com/office/excel/2006/main">
          <x14:cfRule type="dataBar" id="{111d79ee-1953-4032-9b89-7d4ae7f9204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C21:C25</xm:sqref>
        </x14:conditionalFormatting>
        <x14:conditionalFormatting xmlns:xm="http://schemas.microsoft.com/office/excel/2006/main">
          <x14:cfRule type="dataBar" id="{122ef4da-0cd3-4fdb-ba2d-dc9e8815912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C27:C31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19BD22C-D6CF-4BCA-A40E-A645AB59A7E9}">
  <ds:schemaRefs/>
</ds:datastoreItem>
</file>

<file path=customXml/itemProps2.xml><?xml version="1.0" encoding="utf-8"?>
<ds:datastoreItem xmlns:ds="http://schemas.openxmlformats.org/officeDocument/2006/customXml" ds:itemID="{801C8288-9B68-4B75-8F0D-8DBAE6FA8188}">
  <ds:schemaRefs/>
</ds:datastoreItem>
</file>

<file path=customXml/itemProps3.xml><?xml version="1.0" encoding="utf-8"?>
<ds:datastoreItem xmlns:ds="http://schemas.openxmlformats.org/officeDocument/2006/customXml" ds:itemID="{CF234582-1D31-47EA-9F5A-F3BF95076F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GANTT 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Murtazaliev</dc:creator>
  <cp:lastModifiedBy>Besitzer</cp:lastModifiedBy>
  <dcterms:created xsi:type="dcterms:W3CDTF">2024-04-02T08:56:00Z</dcterms:created>
  <cp:lastPrinted>2024-04-03T14:59:00Z</cp:lastPrinted>
  <dcterms:modified xsi:type="dcterms:W3CDTF">2026-01-03T00:42:01Z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0x010100D801E961387BCA4C9264BD1BBA8B8F01</vt:lpwstr>
  </property>
  <property fmtid="{D5CDD505-2E9C-101B-9397-08002B2CF9AE}" pid="3" name="MediaServiceImageTags">
    <vt:lpwstr/>
  </property>
  <property fmtid="{D5CDD505-2E9C-101B-9397-08002B2CF9AE}" pid="4" name="KSOProductBuildVer">
    <vt:lpwstr>1033-11.2.0.10258</vt:lpwstr>
  </property>
  <property fmtid="{D5CDD505-2E9C-101B-9397-08002B2CF9AE}" pid="5" name="ICV">
    <vt:lpwstr>FB79D4276D854D3BB3462B007E333394</vt:lpwstr>
  </property>
</Properties>
</file>